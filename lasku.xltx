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korjaamo\Documents\pohjat\"/>
    </mc:Choice>
  </mc:AlternateContent>
  <bookViews>
    <workbookView xWindow="0" yWindow="0" windowWidth="28800" windowHeight="13635" tabRatio="141"/>
  </bookViews>
  <sheets>
    <sheet name="Лист1" sheetId="1" r:id="rId1"/>
    <sheet name="Лист2" sheetId="2" r:id="rId2"/>
    <sheet name="Лист3" sheetId="3" r:id="rId3"/>
  </sheets>
  <calcPr calcId="152511"/>
</workbook>
</file>

<file path=xl/calcChain.xml><?xml version="1.0" encoding="utf-8"?>
<calcChain xmlns="http://schemas.openxmlformats.org/spreadsheetml/2006/main">
  <c r="K31" i="1" l="1"/>
  <c r="K44" i="1"/>
  <c r="K29" i="1"/>
  <c r="K13" i="1"/>
  <c r="K12" i="1"/>
  <c r="E3" i="1" l="1"/>
  <c r="K39" i="1" l="1"/>
  <c r="K38" i="1"/>
  <c r="K37" i="1"/>
  <c r="K36" i="1"/>
  <c r="K35" i="1"/>
  <c r="K34" i="1"/>
  <c r="K33" i="1"/>
  <c r="K32" i="1"/>
  <c r="K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49" i="1" l="1"/>
  <c r="K50" i="1"/>
  <c r="K43" i="1"/>
  <c r="K46" i="1"/>
  <c r="K48" i="1"/>
  <c r="K42" i="1"/>
  <c r="K45" i="1"/>
  <c r="K47" i="1"/>
  <c r="E9" i="1"/>
  <c r="K40" i="1" l="1"/>
  <c r="K41" i="1" l="1"/>
  <c r="J53" i="1" s="1"/>
  <c r="J51" i="1" s="1"/>
  <c r="J52" i="1" s="1"/>
</calcChain>
</file>

<file path=xl/comments1.xml><?xml version="1.0" encoding="utf-8"?>
<comments xmlns="http://schemas.openxmlformats.org/spreadsheetml/2006/main">
  <authors>
    <author>lilia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Добавь дату для инвойса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Укажи номер инвойса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Последняя дата оплаты счёта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Viivekогко</t>
        </r>
      </text>
    </comment>
  </commentList>
</comments>
</file>

<file path=xl/sharedStrings.xml><?xml version="1.0" encoding="utf-8"?>
<sst xmlns="http://schemas.openxmlformats.org/spreadsheetml/2006/main" count="30" uniqueCount="29">
  <si>
    <t>LASKU</t>
  </si>
  <si>
    <t>päivämäärä</t>
  </si>
  <si>
    <t>lasku nro.</t>
  </si>
  <si>
    <t>eräpäivä</t>
  </si>
  <si>
    <t>korko</t>
  </si>
  <si>
    <t>Maksettava EUR</t>
  </si>
  <si>
    <t>Maksaessanne käyttäkä auton rekisterinumeroa viestinä</t>
  </si>
  <si>
    <t>Stadin Korjaamo Oy</t>
  </si>
  <si>
    <t>Läkkisepäntie 15</t>
  </si>
  <si>
    <t>00620 HELSINKI</t>
  </si>
  <si>
    <t>Y tunnus: 2772860-8</t>
  </si>
  <si>
    <t>Tel. +358 40 069 7175</t>
  </si>
  <si>
    <t>IBAN: FI28 4055 0012 4663 93</t>
  </si>
  <si>
    <t>Aktia Pankki</t>
  </si>
  <si>
    <t>Kotikunta</t>
  </si>
  <si>
    <t>Helsinki</t>
  </si>
  <si>
    <t>e-mail: olena_stadi@windowslive.com</t>
  </si>
  <si>
    <t>405500-12466393</t>
  </si>
  <si>
    <t>SWIFT: HELSFIHH</t>
  </si>
  <si>
    <t>Varaosat</t>
  </si>
  <si>
    <t>Työt</t>
  </si>
  <si>
    <t>Rek. Nro.</t>
  </si>
  <si>
    <t>Summa</t>
  </si>
  <si>
    <t>kpl</t>
  </si>
  <si>
    <t>hinta/tunti</t>
  </si>
  <si>
    <t>ALV 24 %</t>
  </si>
  <si>
    <t>Veroton summa</t>
  </si>
  <si>
    <t>määrä</t>
  </si>
  <si>
    <t xml:space="preserve">hinta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</si>
</sst>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[$€-40B];[Red]\-#,##0.00\ [$€-40B]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name val="Arial"/>
      <family val="2"/>
    </font>
    <font>
      <i/>
      <sz val="1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44" fontId="1" fillId="0" borderId="0" applyFill="0" applyBorder="0" applyAlignment="0" applyProtection="0"/>
  </cellStyleXfs>
  <cellXfs count="55">
    <xf numFmtId="0" fontId="0" fillId="0" borderId="0" xfId="0"/>
    <xf numFmtId="0" fontId="0" fillId="0" borderId="0" xfId="0" applyBorder="1"/>
    <xf numFmtId="0" fontId="0" fillId="0" borderId="2" xfId="0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5" fillId="0" borderId="0" xfId="0" applyFont="1" applyBorder="1"/>
    <xf numFmtId="0" fontId="0" fillId="0" borderId="1" xfId="0" applyFill="1" applyBorder="1"/>
    <xf numFmtId="0" fontId="0" fillId="0" borderId="0" xfId="0" applyFill="1"/>
    <xf numFmtId="0" fontId="0" fillId="0" borderId="0" xfId="0" applyFill="1" applyBorder="1"/>
    <xf numFmtId="0" fontId="9" fillId="0" borderId="0" xfId="0" applyFont="1"/>
    <xf numFmtId="0" fontId="10" fillId="0" borderId="0" xfId="0" applyFont="1" applyFill="1" applyBorder="1"/>
    <xf numFmtId="0" fontId="10" fillId="0" borderId="2" xfId="0" applyFont="1" applyBorder="1"/>
    <xf numFmtId="0" fontId="10" fillId="0" borderId="0" xfId="0" applyFont="1" applyBorder="1"/>
    <xf numFmtId="0" fontId="11" fillId="0" borderId="0" xfId="0" applyFont="1"/>
    <xf numFmtId="0" fontId="5" fillId="0" borderId="0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Fill="1" applyBorder="1" applyAlignment="1" applyProtection="1">
      <alignment horizontal="left" vertical="center"/>
    </xf>
    <xf numFmtId="14" fontId="0" fillId="0" borderId="0" xfId="0" applyNumberFormat="1" applyFont="1" applyFill="1" applyAlignment="1" applyProtection="1">
      <alignment horizontal="right" vertical="center"/>
    </xf>
    <xf numFmtId="0" fontId="0" fillId="0" borderId="0" xfId="0" applyFill="1" applyProtection="1"/>
    <xf numFmtId="10" fontId="0" fillId="0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Protection="1">
      <protection locked="0"/>
    </xf>
    <xf numFmtId="44" fontId="1" fillId="2" borderId="0" xfId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44" fontId="1" fillId="0" borderId="0" xfId="1" applyBorder="1" applyAlignment="1" applyProtection="1">
      <alignment horizontal="center" vertical="center"/>
      <protection locked="0" hidden="1"/>
    </xf>
    <xf numFmtId="0" fontId="3" fillId="0" borderId="0" xfId="0" applyFont="1" applyAlignment="1">
      <alignment horizontal="right" vertical="center"/>
    </xf>
    <xf numFmtId="0" fontId="0" fillId="0" borderId="2" xfId="0" applyBorder="1" applyAlignment="1">
      <alignment horizontal="center" vertical="center"/>
    </xf>
    <xf numFmtId="164" fontId="3" fillId="0" borderId="0" xfId="0" applyNumberFormat="1" applyFont="1" applyAlignment="1" applyProtection="1">
      <alignment horizontal="right" vertical="center"/>
      <protection hidden="1"/>
    </xf>
    <xf numFmtId="0" fontId="1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right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14" fontId="0" fillId="0" borderId="0" xfId="0" applyNumberFormat="1" applyFont="1" applyFill="1" applyAlignment="1" applyProtection="1">
      <alignment horizontal="right" vertical="center"/>
      <protection locked="0"/>
    </xf>
    <xf numFmtId="10" fontId="0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 applyProtection="1">
      <alignment horizontal="right" vertical="center"/>
      <protection locked="0"/>
    </xf>
    <xf numFmtId="0" fontId="0" fillId="2" borderId="0" xfId="0" applyFont="1" applyFill="1" applyBorder="1" applyAlignment="1" applyProtection="1">
      <alignment horizontal="left" vertical="center"/>
      <protection locked="0"/>
    </xf>
    <xf numFmtId="44" fontId="0" fillId="2" borderId="0" xfId="1" applyFont="1" applyFill="1" applyBorder="1" applyAlignment="1" applyProtection="1">
      <alignment horizontal="center" vertical="center"/>
      <protection hidden="1"/>
    </xf>
    <xf numFmtId="44" fontId="1" fillId="2" borderId="0" xfId="1" applyFill="1" applyBorder="1" applyAlignment="1" applyProtection="1">
      <alignment horizontal="center" vertical="center"/>
      <protection hidden="1"/>
    </xf>
    <xf numFmtId="9" fontId="0" fillId="2" borderId="0" xfId="0" applyNumberFormat="1" applyFill="1" applyBorder="1" applyAlignment="1" applyProtection="1">
      <alignment horizontal="center"/>
      <protection locked="0" hidden="1"/>
    </xf>
    <xf numFmtId="2" fontId="0" fillId="0" borderId="0" xfId="0" applyNumberFormat="1" applyBorder="1" applyAlignment="1" applyProtection="1">
      <alignment horizontal="center"/>
      <protection locked="0" hidden="1"/>
    </xf>
    <xf numFmtId="44" fontId="1" fillId="0" borderId="0" xfId="1" applyBorder="1" applyAlignment="1" applyProtection="1">
      <alignment horizontal="right" vertical="center"/>
      <protection hidden="1"/>
    </xf>
    <xf numFmtId="44" fontId="0" fillId="2" borderId="0" xfId="1" applyFont="1" applyFill="1" applyBorder="1" applyAlignment="1" applyProtection="1">
      <alignment horizontal="right" vertical="center"/>
      <protection hidden="1"/>
    </xf>
    <xf numFmtId="44" fontId="1" fillId="2" borderId="0" xfId="1" applyFill="1" applyBorder="1" applyAlignment="1" applyProtection="1">
      <alignment horizontal="right" vertical="center"/>
      <protection hidden="1"/>
    </xf>
    <xf numFmtId="164" fontId="3" fillId="0" borderId="0" xfId="0" applyNumberFormat="1" applyFont="1" applyBorder="1" applyAlignment="1" applyProtection="1">
      <alignment horizontal="right" vertical="center"/>
      <protection hidden="1"/>
    </xf>
    <xf numFmtId="0" fontId="0" fillId="0" borderId="3" xfId="0" applyBorder="1" applyAlignment="1" applyProtection="1">
      <alignment horizontal="left"/>
      <protection locked="0"/>
    </xf>
    <xf numFmtId="44" fontId="1" fillId="0" borderId="3" xfId="1" applyBorder="1" applyAlignment="1" applyProtection="1">
      <alignment horizontal="center" vertical="center"/>
      <protection locked="0" hidden="1"/>
    </xf>
    <xf numFmtId="1" fontId="0" fillId="0" borderId="0" xfId="0" applyNumberFormat="1" applyBorder="1" applyAlignment="1" applyProtection="1">
      <alignment horizontal="center"/>
      <protection locked="0" hidden="1"/>
    </xf>
    <xf numFmtId="1" fontId="0" fillId="0" borderId="3" xfId="0" applyNumberFormat="1" applyBorder="1" applyAlignment="1" applyProtection="1">
      <alignment horizontal="center"/>
      <protection locked="0" hidden="1"/>
    </xf>
    <xf numFmtId="44" fontId="1" fillId="0" borderId="3" xfId="1" applyBorder="1" applyAlignment="1" applyProtection="1">
      <alignment horizontal="right" vertical="center"/>
      <protection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177363</xdr:colOff>
      <xdr:row>0</xdr:row>
      <xdr:rowOff>0</xdr:rowOff>
    </xdr:from>
    <xdr:to>
      <xdr:col>2</xdr:col>
      <xdr:colOff>367862</xdr:colOff>
      <xdr:row>1</xdr:row>
      <xdr:rowOff>94882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contrast="5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363" y="0"/>
          <a:ext cx="1386051" cy="83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finnelit.com/" TargetMode="External"/><Relationship Id="rId1" Type="http://schemas.openxmlformats.org/officeDocument/2006/relationships/hyperlink" Target="mailto:info@finneli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59"/>
  <sheetViews>
    <sheetView tabSelected="1" zoomScale="115" zoomScaleNormal="115" workbookViewId="0">
      <selection activeCell="A4" sqref="A4:D4"/>
    </sheetView>
  </sheetViews>
  <sheetFormatPr defaultColWidth="11.5703125" defaultRowHeight="12.75" x14ac:dyDescent="0.2"/>
  <cols>
    <col min="1" max="1" width="3.5703125" customWidth="1"/>
    <col min="2" max="2" width="14.42578125" customWidth="1"/>
    <col min="3" max="3" width="12.28515625" customWidth="1"/>
    <col min="4" max="4" width="12.5703125" customWidth="1"/>
    <col min="5" max="5" width="11.140625" bestFit="1" customWidth="1"/>
    <col min="6" max="6" width="6" customWidth="1"/>
    <col min="7" max="7" width="1.7109375" customWidth="1"/>
    <col min="8" max="8" width="7.140625" customWidth="1"/>
    <col min="9" max="9" width="5.42578125" customWidth="1"/>
    <col min="10" max="10" width="7" customWidth="1"/>
    <col min="11" max="11" width="2.5703125" customWidth="1"/>
    <col min="12" max="12" width="9.140625" customWidth="1"/>
  </cols>
  <sheetData>
    <row r="1" spans="1:12" ht="58.9" customHeight="1" x14ac:dyDescent="0.2">
      <c r="A1" s="29"/>
      <c r="B1" s="29"/>
      <c r="C1" s="29"/>
      <c r="D1" s="29"/>
      <c r="E1" s="30"/>
      <c r="F1" s="30"/>
      <c r="G1" s="30"/>
      <c r="H1" s="30"/>
      <c r="I1" s="31" t="s">
        <v>0</v>
      </c>
      <c r="J1" s="31"/>
      <c r="K1" s="31"/>
      <c r="L1" s="31"/>
    </row>
    <row r="2" spans="1:12" x14ac:dyDescent="0.2">
      <c r="A2" s="32"/>
      <c r="B2" s="32"/>
      <c r="C2" s="32"/>
      <c r="D2" s="32"/>
      <c r="E2" s="33" t="s">
        <v>1</v>
      </c>
      <c r="F2" s="33"/>
      <c r="G2" s="33"/>
      <c r="H2" s="33"/>
      <c r="I2" s="33" t="s">
        <v>2</v>
      </c>
      <c r="J2" s="33"/>
      <c r="K2" s="33" t="s">
        <v>21</v>
      </c>
      <c r="L2" s="33"/>
    </row>
    <row r="3" spans="1:12" x14ac:dyDescent="0.2">
      <c r="A3" s="39"/>
      <c r="B3" s="39"/>
      <c r="C3" s="39"/>
      <c r="D3" s="39"/>
      <c r="E3" s="37">
        <f ca="1">NOW()</f>
        <v>42628.771509143517</v>
      </c>
      <c r="F3" s="37"/>
      <c r="G3" s="37"/>
      <c r="H3" s="37"/>
      <c r="I3" s="40"/>
      <c r="J3" s="40"/>
      <c r="K3" s="40"/>
      <c r="L3" s="40"/>
    </row>
    <row r="4" spans="1:12" x14ac:dyDescent="0.2">
      <c r="A4" s="34"/>
      <c r="B4" s="34"/>
      <c r="C4" s="34"/>
      <c r="D4" s="34"/>
      <c r="E4" s="7"/>
      <c r="F4" s="7"/>
      <c r="G4" s="7"/>
      <c r="H4" s="7"/>
      <c r="I4" s="7"/>
      <c r="J4" s="7"/>
      <c r="K4" s="7"/>
      <c r="L4" s="7"/>
    </row>
    <row r="5" spans="1:12" x14ac:dyDescent="0.2">
      <c r="E5" s="8"/>
      <c r="F5" s="8"/>
      <c r="G5" s="8"/>
      <c r="H5" s="11"/>
      <c r="I5" s="8"/>
      <c r="J5" s="9"/>
      <c r="K5" s="8"/>
      <c r="L5" s="9"/>
    </row>
    <row r="6" spans="1:12" x14ac:dyDescent="0.2">
      <c r="A6" s="34"/>
      <c r="B6" s="34"/>
      <c r="C6" s="34"/>
      <c r="D6" s="34"/>
      <c r="E6" s="8"/>
      <c r="F6" s="8"/>
      <c r="G6" s="8"/>
      <c r="H6" s="11"/>
      <c r="I6" s="8"/>
      <c r="J6" s="9"/>
      <c r="K6" s="8"/>
      <c r="L6" s="9"/>
    </row>
    <row r="7" spans="1:12" x14ac:dyDescent="0.2">
      <c r="A7" s="34"/>
      <c r="B7" s="34"/>
      <c r="C7" s="34"/>
      <c r="D7" s="34"/>
      <c r="E7" s="8"/>
      <c r="F7" s="8"/>
      <c r="G7" s="8"/>
      <c r="H7" s="9"/>
      <c r="I7" s="8"/>
      <c r="J7" s="9"/>
      <c r="K7" s="8"/>
      <c r="L7" s="9"/>
    </row>
    <row r="8" spans="1:12" x14ac:dyDescent="0.2">
      <c r="A8" s="34"/>
      <c r="B8" s="34"/>
      <c r="C8" s="34"/>
      <c r="D8" s="34"/>
      <c r="E8" s="35" t="s">
        <v>3</v>
      </c>
      <c r="F8" s="35"/>
      <c r="G8" s="35"/>
      <c r="H8" s="35"/>
      <c r="I8" s="8"/>
      <c r="J8" s="36" t="s">
        <v>4</v>
      </c>
      <c r="K8" s="36"/>
      <c r="L8" s="36"/>
    </row>
    <row r="9" spans="1:12" x14ac:dyDescent="0.2">
      <c r="A9" s="34"/>
      <c r="B9" s="34"/>
      <c r="C9" s="34"/>
      <c r="D9" s="34"/>
      <c r="E9" s="37">
        <f ca="1">IF(E3="","",E3+7)</f>
        <v>42635.771509143517</v>
      </c>
      <c r="F9" s="37"/>
      <c r="G9" s="37"/>
      <c r="H9" s="37"/>
      <c r="I9" s="8"/>
      <c r="J9" s="38">
        <v>0.11</v>
      </c>
      <c r="K9" s="38"/>
      <c r="L9" s="38"/>
    </row>
    <row r="10" spans="1:12" x14ac:dyDescent="0.2">
      <c r="A10" s="17"/>
      <c r="B10" s="17"/>
      <c r="C10" s="17"/>
      <c r="D10" s="17"/>
      <c r="E10" s="18"/>
      <c r="F10" s="18"/>
      <c r="G10" s="18"/>
      <c r="H10" s="18"/>
      <c r="I10" s="19"/>
      <c r="J10" s="20"/>
      <c r="K10" s="20"/>
      <c r="L10" s="20"/>
    </row>
    <row r="11" spans="1:12" x14ac:dyDescent="0.2">
      <c r="A11" s="21"/>
      <c r="B11" s="41" t="s">
        <v>20</v>
      </c>
      <c r="C11" s="41"/>
      <c r="D11" s="41"/>
      <c r="E11" s="22"/>
      <c r="F11" s="23"/>
      <c r="G11" s="21"/>
      <c r="H11" s="42" t="s">
        <v>24</v>
      </c>
      <c r="I11" s="43"/>
      <c r="J11" s="44" t="s">
        <v>27</v>
      </c>
      <c r="K11" s="47" t="s">
        <v>22</v>
      </c>
      <c r="L11" s="48"/>
    </row>
    <row r="12" spans="1:12" ht="12.75" customHeight="1" x14ac:dyDescent="0.2">
      <c r="A12" s="24"/>
      <c r="B12" s="24"/>
      <c r="C12" s="24"/>
      <c r="D12" s="24"/>
      <c r="E12" s="24"/>
      <c r="F12" s="24"/>
      <c r="G12" s="24"/>
      <c r="H12" s="25"/>
      <c r="I12" s="25"/>
      <c r="J12" s="45"/>
      <c r="K12" s="46" t="str">
        <f>IF(H12="","",H12*J12)</f>
        <v/>
      </c>
      <c r="L12" s="46"/>
    </row>
    <row r="13" spans="1:12" ht="12.75" customHeight="1" x14ac:dyDescent="0.2">
      <c r="A13" s="24"/>
      <c r="B13" s="24"/>
      <c r="C13" s="24"/>
      <c r="D13" s="24"/>
      <c r="E13" s="24"/>
      <c r="F13" s="24"/>
      <c r="G13" s="24"/>
      <c r="H13" s="25"/>
      <c r="I13" s="25"/>
      <c r="J13" s="45"/>
      <c r="K13" s="46" t="str">
        <f t="shared" ref="K13:K27" si="0">IF(H13="","",H13*J13)</f>
        <v/>
      </c>
      <c r="L13" s="46"/>
    </row>
    <row r="14" spans="1:12" ht="12.75" customHeight="1" x14ac:dyDescent="0.2">
      <c r="A14" s="24"/>
      <c r="B14" s="24"/>
      <c r="C14" s="24"/>
      <c r="D14" s="24"/>
      <c r="E14" s="24"/>
      <c r="F14" s="24"/>
      <c r="G14" s="24"/>
      <c r="H14" s="25"/>
      <c r="I14" s="25"/>
      <c r="J14" s="45"/>
      <c r="K14" s="46" t="str">
        <f t="shared" si="0"/>
        <v/>
      </c>
      <c r="L14" s="46"/>
    </row>
    <row r="15" spans="1:12" x14ac:dyDescent="0.2">
      <c r="A15" s="24"/>
      <c r="B15" s="24"/>
      <c r="C15" s="24"/>
      <c r="D15" s="24"/>
      <c r="E15" s="24"/>
      <c r="F15" s="24"/>
      <c r="G15" s="24"/>
      <c r="H15" s="25"/>
      <c r="I15" s="25"/>
      <c r="J15" s="45"/>
      <c r="K15" s="46" t="str">
        <f t="shared" si="0"/>
        <v/>
      </c>
      <c r="L15" s="46"/>
    </row>
    <row r="16" spans="1:12" x14ac:dyDescent="0.2">
      <c r="A16" s="24"/>
      <c r="B16" s="24"/>
      <c r="C16" s="24"/>
      <c r="D16" s="24"/>
      <c r="E16" s="24"/>
      <c r="F16" s="24"/>
      <c r="G16" s="24"/>
      <c r="H16" s="25"/>
      <c r="I16" s="25"/>
      <c r="J16" s="45"/>
      <c r="K16" s="46" t="str">
        <f t="shared" si="0"/>
        <v/>
      </c>
      <c r="L16" s="46"/>
    </row>
    <row r="17" spans="1:12" x14ac:dyDescent="0.2">
      <c r="A17" s="24"/>
      <c r="B17" s="24"/>
      <c r="C17" s="24"/>
      <c r="D17" s="24"/>
      <c r="E17" s="24"/>
      <c r="F17" s="24"/>
      <c r="G17" s="24"/>
      <c r="H17" s="25"/>
      <c r="I17" s="25"/>
      <c r="J17" s="45"/>
      <c r="K17" s="46" t="str">
        <f t="shared" si="0"/>
        <v/>
      </c>
      <c r="L17" s="46"/>
    </row>
    <row r="18" spans="1:12" x14ac:dyDescent="0.2">
      <c r="A18" s="24"/>
      <c r="B18" s="24"/>
      <c r="C18" s="24"/>
      <c r="D18" s="24"/>
      <c r="E18" s="24"/>
      <c r="F18" s="24"/>
      <c r="G18" s="24"/>
      <c r="H18" s="25"/>
      <c r="I18" s="25"/>
      <c r="J18" s="45"/>
      <c r="K18" s="46" t="str">
        <f t="shared" si="0"/>
        <v/>
      </c>
      <c r="L18" s="46"/>
    </row>
    <row r="19" spans="1:12" x14ac:dyDescent="0.2">
      <c r="A19" s="24"/>
      <c r="B19" s="24"/>
      <c r="C19" s="24"/>
      <c r="D19" s="24"/>
      <c r="E19" s="24"/>
      <c r="F19" s="24"/>
      <c r="G19" s="24"/>
      <c r="H19" s="25"/>
      <c r="I19" s="25"/>
      <c r="J19" s="45"/>
      <c r="K19" s="46" t="str">
        <f t="shared" si="0"/>
        <v/>
      </c>
      <c r="L19" s="46"/>
    </row>
    <row r="20" spans="1:12" x14ac:dyDescent="0.2">
      <c r="A20" s="24"/>
      <c r="B20" s="24"/>
      <c r="C20" s="24"/>
      <c r="D20" s="24"/>
      <c r="E20" s="24"/>
      <c r="F20" s="24"/>
      <c r="G20" s="24"/>
      <c r="H20" s="25"/>
      <c r="I20" s="25"/>
      <c r="J20" s="45"/>
      <c r="K20" s="46" t="str">
        <f t="shared" si="0"/>
        <v/>
      </c>
      <c r="L20" s="46"/>
    </row>
    <row r="21" spans="1:12" x14ac:dyDescent="0.2">
      <c r="A21" s="24"/>
      <c r="B21" s="24"/>
      <c r="C21" s="24"/>
      <c r="D21" s="24"/>
      <c r="E21" s="24"/>
      <c r="F21" s="24"/>
      <c r="G21" s="24"/>
      <c r="H21" s="25"/>
      <c r="I21" s="25"/>
      <c r="J21" s="45"/>
      <c r="K21" s="46" t="str">
        <f t="shared" si="0"/>
        <v/>
      </c>
      <c r="L21" s="46"/>
    </row>
    <row r="22" spans="1:12" x14ac:dyDescent="0.2">
      <c r="A22" s="24"/>
      <c r="B22" s="24"/>
      <c r="C22" s="24"/>
      <c r="D22" s="24"/>
      <c r="E22" s="24"/>
      <c r="F22" s="24"/>
      <c r="G22" s="24"/>
      <c r="H22" s="25"/>
      <c r="I22" s="25"/>
      <c r="J22" s="45"/>
      <c r="K22" s="46" t="str">
        <f t="shared" si="0"/>
        <v/>
      </c>
      <c r="L22" s="46"/>
    </row>
    <row r="23" spans="1:12" x14ac:dyDescent="0.2">
      <c r="A23" s="24"/>
      <c r="B23" s="24"/>
      <c r="C23" s="24"/>
      <c r="D23" s="24"/>
      <c r="E23" s="24"/>
      <c r="F23" s="24"/>
      <c r="G23" s="24"/>
      <c r="H23" s="25"/>
      <c r="I23" s="25"/>
      <c r="J23" s="45"/>
      <c r="K23" s="46" t="str">
        <f t="shared" si="0"/>
        <v/>
      </c>
      <c r="L23" s="46"/>
    </row>
    <row r="24" spans="1:12" x14ac:dyDescent="0.2">
      <c r="A24" s="24"/>
      <c r="B24" s="24"/>
      <c r="C24" s="24"/>
      <c r="D24" s="24"/>
      <c r="E24" s="24"/>
      <c r="F24" s="24"/>
      <c r="G24" s="24"/>
      <c r="H24" s="25"/>
      <c r="I24" s="25"/>
      <c r="J24" s="45"/>
      <c r="K24" s="46" t="str">
        <f t="shared" si="0"/>
        <v/>
      </c>
      <c r="L24" s="46"/>
    </row>
    <row r="25" spans="1:12" x14ac:dyDescent="0.2">
      <c r="A25" s="24"/>
      <c r="B25" s="24"/>
      <c r="C25" s="24"/>
      <c r="D25" s="24"/>
      <c r="E25" s="24"/>
      <c r="F25" s="24"/>
      <c r="G25" s="24"/>
      <c r="H25" s="25"/>
      <c r="I25" s="25"/>
      <c r="J25" s="45"/>
      <c r="K25" s="46" t="str">
        <f t="shared" si="0"/>
        <v/>
      </c>
      <c r="L25" s="46"/>
    </row>
    <row r="26" spans="1:12" x14ac:dyDescent="0.2">
      <c r="A26" s="24"/>
      <c r="B26" s="24"/>
      <c r="C26" s="24"/>
      <c r="D26" s="24"/>
      <c r="E26" s="24"/>
      <c r="F26" s="24"/>
      <c r="G26" s="24"/>
      <c r="H26" s="25"/>
      <c r="I26" s="25"/>
      <c r="J26" s="45"/>
      <c r="K26" s="46" t="str">
        <f t="shared" si="0"/>
        <v/>
      </c>
      <c r="L26" s="46"/>
    </row>
    <row r="27" spans="1:12" x14ac:dyDescent="0.2">
      <c r="A27" s="24"/>
      <c r="B27" s="24"/>
      <c r="C27" s="24"/>
      <c r="D27" s="24"/>
      <c r="E27" s="24"/>
      <c r="F27" s="24"/>
      <c r="G27" s="24"/>
      <c r="H27" s="25"/>
      <c r="I27" s="25"/>
      <c r="J27" s="45"/>
      <c r="K27" s="46" t="str">
        <f t="shared" si="0"/>
        <v/>
      </c>
      <c r="L27" s="46"/>
    </row>
    <row r="28" spans="1:12" x14ac:dyDescent="0.2">
      <c r="A28" s="21"/>
      <c r="B28" s="41" t="s">
        <v>19</v>
      </c>
      <c r="C28" s="41"/>
      <c r="D28" s="41"/>
      <c r="E28" s="22"/>
      <c r="F28" s="23"/>
      <c r="G28" s="21"/>
      <c r="H28" s="42" t="s">
        <v>28</v>
      </c>
      <c r="I28" s="43"/>
      <c r="J28" s="44" t="s">
        <v>23</v>
      </c>
      <c r="K28" s="47" t="s">
        <v>22</v>
      </c>
      <c r="L28" s="48"/>
    </row>
    <row r="29" spans="1:12" x14ac:dyDescent="0.2">
      <c r="A29" s="24"/>
      <c r="B29" s="24"/>
      <c r="C29" s="24"/>
      <c r="D29" s="24"/>
      <c r="E29" s="24"/>
      <c r="F29" s="24"/>
      <c r="G29" s="24"/>
      <c r="H29" s="25"/>
      <c r="I29" s="25"/>
      <c r="J29" s="52"/>
      <c r="K29" s="46" t="str">
        <f>IF(OR(H29="",J29=""),"",H29*J29)</f>
        <v/>
      </c>
      <c r="L29" s="46"/>
    </row>
    <row r="30" spans="1:12" x14ac:dyDescent="0.2">
      <c r="A30" s="24"/>
      <c r="B30" s="24"/>
      <c r="C30" s="24"/>
      <c r="D30" s="24"/>
      <c r="E30" s="24"/>
      <c r="F30" s="24"/>
      <c r="G30" s="24"/>
      <c r="H30" s="25"/>
      <c r="I30" s="25"/>
      <c r="J30" s="52"/>
      <c r="K30" s="46" t="str">
        <f t="shared" ref="K30:K50" si="1">IF(OR(H30="",J30=""),"",H30*J30)</f>
        <v/>
      </c>
      <c r="L30" s="46"/>
    </row>
    <row r="31" spans="1:12" x14ac:dyDescent="0.2">
      <c r="A31" s="24"/>
      <c r="B31" s="24"/>
      <c r="C31" s="24"/>
      <c r="D31" s="24"/>
      <c r="E31" s="24"/>
      <c r="F31" s="24"/>
      <c r="G31" s="24"/>
      <c r="H31" s="25"/>
      <c r="I31" s="25"/>
      <c r="J31" s="52"/>
      <c r="K31" s="46" t="str">
        <f t="shared" si="1"/>
        <v/>
      </c>
      <c r="L31" s="46"/>
    </row>
    <row r="32" spans="1:12" x14ac:dyDescent="0.2">
      <c r="A32" s="24"/>
      <c r="B32" s="24"/>
      <c r="C32" s="24"/>
      <c r="D32" s="24"/>
      <c r="E32" s="24"/>
      <c r="F32" s="24"/>
      <c r="G32" s="24"/>
      <c r="H32" s="25"/>
      <c r="I32" s="25"/>
      <c r="J32" s="52"/>
      <c r="K32" s="46" t="str">
        <f t="shared" si="1"/>
        <v/>
      </c>
      <c r="L32" s="46"/>
    </row>
    <row r="33" spans="1:13" x14ac:dyDescent="0.2">
      <c r="A33" s="24"/>
      <c r="B33" s="24"/>
      <c r="C33" s="24"/>
      <c r="D33" s="24"/>
      <c r="E33" s="24"/>
      <c r="F33" s="24"/>
      <c r="G33" s="24"/>
      <c r="H33" s="25"/>
      <c r="I33" s="25"/>
      <c r="J33" s="52"/>
      <c r="K33" s="46" t="str">
        <f t="shared" si="1"/>
        <v/>
      </c>
      <c r="L33" s="46"/>
    </row>
    <row r="34" spans="1:13" x14ac:dyDescent="0.2">
      <c r="A34" s="24"/>
      <c r="B34" s="24"/>
      <c r="C34" s="24"/>
      <c r="D34" s="24"/>
      <c r="E34" s="24"/>
      <c r="F34" s="24"/>
      <c r="G34" s="24"/>
      <c r="H34" s="25"/>
      <c r="I34" s="25"/>
      <c r="J34" s="52"/>
      <c r="K34" s="46" t="str">
        <f t="shared" si="1"/>
        <v/>
      </c>
      <c r="L34" s="46"/>
    </row>
    <row r="35" spans="1:13" x14ac:dyDescent="0.2">
      <c r="A35" s="24"/>
      <c r="B35" s="24"/>
      <c r="C35" s="24"/>
      <c r="D35" s="24"/>
      <c r="E35" s="24"/>
      <c r="F35" s="24"/>
      <c r="G35" s="24"/>
      <c r="H35" s="25"/>
      <c r="I35" s="25"/>
      <c r="J35" s="52"/>
      <c r="K35" s="46" t="str">
        <f t="shared" si="1"/>
        <v/>
      </c>
      <c r="L35" s="46"/>
    </row>
    <row r="36" spans="1:13" x14ac:dyDescent="0.2">
      <c r="A36" s="24"/>
      <c r="B36" s="24"/>
      <c r="C36" s="24"/>
      <c r="D36" s="24"/>
      <c r="E36" s="24"/>
      <c r="F36" s="24"/>
      <c r="G36" s="24"/>
      <c r="H36" s="25"/>
      <c r="I36" s="25"/>
      <c r="J36" s="52"/>
      <c r="K36" s="46" t="str">
        <f t="shared" si="1"/>
        <v/>
      </c>
      <c r="L36" s="46"/>
    </row>
    <row r="37" spans="1:13" x14ac:dyDescent="0.2">
      <c r="A37" s="24"/>
      <c r="B37" s="24"/>
      <c r="C37" s="24"/>
      <c r="D37" s="24"/>
      <c r="E37" s="24"/>
      <c r="F37" s="24"/>
      <c r="G37" s="24"/>
      <c r="H37" s="25"/>
      <c r="I37" s="25"/>
      <c r="J37" s="52"/>
      <c r="K37" s="46" t="str">
        <f t="shared" si="1"/>
        <v/>
      </c>
      <c r="L37" s="46"/>
    </row>
    <row r="38" spans="1:13" x14ac:dyDescent="0.2">
      <c r="A38" s="24"/>
      <c r="B38" s="24"/>
      <c r="C38" s="24"/>
      <c r="D38" s="24"/>
      <c r="E38" s="24"/>
      <c r="F38" s="24"/>
      <c r="G38" s="24"/>
      <c r="H38" s="25"/>
      <c r="I38" s="25"/>
      <c r="J38" s="52"/>
      <c r="K38" s="46" t="str">
        <f t="shared" si="1"/>
        <v/>
      </c>
      <c r="L38" s="46"/>
      <c r="M38" s="10"/>
    </row>
    <row r="39" spans="1:13" x14ac:dyDescent="0.2">
      <c r="A39" s="24"/>
      <c r="B39" s="24"/>
      <c r="C39" s="24"/>
      <c r="D39" s="24"/>
      <c r="E39" s="24"/>
      <c r="F39" s="24"/>
      <c r="G39" s="24"/>
      <c r="H39" s="25"/>
      <c r="I39" s="25"/>
      <c r="J39" s="52"/>
      <c r="K39" s="46" t="str">
        <f t="shared" si="1"/>
        <v/>
      </c>
      <c r="L39" s="46"/>
    </row>
    <row r="40" spans="1:13" x14ac:dyDescent="0.2">
      <c r="A40" s="24"/>
      <c r="B40" s="24"/>
      <c r="C40" s="24"/>
      <c r="D40" s="24"/>
      <c r="E40" s="24"/>
      <c r="F40" s="24"/>
      <c r="G40" s="24"/>
      <c r="H40" s="25"/>
      <c r="I40" s="25"/>
      <c r="J40" s="52"/>
      <c r="K40" s="46" t="str">
        <f t="shared" si="1"/>
        <v/>
      </c>
      <c r="L40" s="46"/>
    </row>
    <row r="41" spans="1:13" x14ac:dyDescent="0.2">
      <c r="A41" s="24"/>
      <c r="B41" s="24"/>
      <c r="C41" s="24"/>
      <c r="D41" s="24"/>
      <c r="E41" s="24"/>
      <c r="F41" s="24"/>
      <c r="G41" s="24"/>
      <c r="H41" s="25"/>
      <c r="I41" s="25"/>
      <c r="J41" s="52"/>
      <c r="K41" s="46" t="str">
        <f t="shared" si="1"/>
        <v/>
      </c>
      <c r="L41" s="46"/>
    </row>
    <row r="42" spans="1:13" x14ac:dyDescent="0.2">
      <c r="A42" s="24"/>
      <c r="B42" s="24"/>
      <c r="C42" s="24"/>
      <c r="D42" s="24"/>
      <c r="E42" s="24"/>
      <c r="F42" s="24"/>
      <c r="G42" s="24"/>
      <c r="H42" s="25"/>
      <c r="I42" s="25"/>
      <c r="J42" s="52"/>
      <c r="K42" s="46" t="str">
        <f t="shared" si="1"/>
        <v/>
      </c>
      <c r="L42" s="46"/>
    </row>
    <row r="43" spans="1:13" x14ac:dyDescent="0.2">
      <c r="A43" s="24"/>
      <c r="B43" s="24"/>
      <c r="C43" s="24"/>
      <c r="D43" s="24"/>
      <c r="E43" s="24"/>
      <c r="F43" s="24"/>
      <c r="G43" s="24"/>
      <c r="H43" s="25"/>
      <c r="I43" s="25"/>
      <c r="J43" s="52"/>
      <c r="K43" s="46" t="str">
        <f t="shared" si="1"/>
        <v/>
      </c>
      <c r="L43" s="46"/>
    </row>
    <row r="44" spans="1:13" x14ac:dyDescent="0.2">
      <c r="A44" s="24"/>
      <c r="B44" s="24"/>
      <c r="C44" s="24"/>
      <c r="D44" s="24"/>
      <c r="E44" s="24"/>
      <c r="F44" s="24"/>
      <c r="G44" s="24"/>
      <c r="H44" s="25"/>
      <c r="I44" s="25"/>
      <c r="J44" s="52"/>
      <c r="K44" s="46" t="str">
        <f t="shared" si="1"/>
        <v/>
      </c>
      <c r="L44" s="46"/>
    </row>
    <row r="45" spans="1:13" x14ac:dyDescent="0.2">
      <c r="A45" s="24"/>
      <c r="B45" s="24"/>
      <c r="C45" s="24"/>
      <c r="D45" s="24"/>
      <c r="E45" s="24"/>
      <c r="F45" s="24"/>
      <c r="G45" s="24"/>
      <c r="H45" s="25"/>
      <c r="I45" s="25"/>
      <c r="J45" s="52"/>
      <c r="K45" s="46" t="str">
        <f t="shared" si="1"/>
        <v/>
      </c>
      <c r="L45" s="46"/>
    </row>
    <row r="46" spans="1:13" x14ac:dyDescent="0.2">
      <c r="A46" s="24"/>
      <c r="B46" s="24"/>
      <c r="C46" s="24"/>
      <c r="D46" s="24"/>
      <c r="E46" s="24"/>
      <c r="F46" s="24"/>
      <c r="G46" s="24"/>
      <c r="H46" s="25"/>
      <c r="I46" s="25"/>
      <c r="J46" s="52"/>
      <c r="K46" s="46" t="str">
        <f t="shared" si="1"/>
        <v/>
      </c>
      <c r="L46" s="46"/>
    </row>
    <row r="47" spans="1:13" x14ac:dyDescent="0.2">
      <c r="A47" s="24"/>
      <c r="B47" s="24"/>
      <c r="C47" s="24"/>
      <c r="D47" s="24"/>
      <c r="E47" s="24"/>
      <c r="F47" s="24"/>
      <c r="G47" s="24"/>
      <c r="H47" s="25"/>
      <c r="I47" s="25"/>
      <c r="J47" s="52"/>
      <c r="K47" s="46" t="str">
        <f t="shared" si="1"/>
        <v/>
      </c>
      <c r="L47" s="46"/>
    </row>
    <row r="48" spans="1:13" x14ac:dyDescent="0.2">
      <c r="A48" s="24"/>
      <c r="B48" s="24"/>
      <c r="C48" s="24"/>
      <c r="D48" s="24"/>
      <c r="E48" s="24"/>
      <c r="F48" s="24"/>
      <c r="G48" s="24"/>
      <c r="H48" s="25"/>
      <c r="I48" s="25"/>
      <c r="J48" s="52"/>
      <c r="K48" s="46" t="str">
        <f t="shared" si="1"/>
        <v/>
      </c>
      <c r="L48" s="46"/>
    </row>
    <row r="49" spans="1:12" x14ac:dyDescent="0.2">
      <c r="A49" s="24"/>
      <c r="B49" s="24"/>
      <c r="C49" s="24"/>
      <c r="D49" s="24"/>
      <c r="E49" s="24"/>
      <c r="F49" s="24"/>
      <c r="G49" s="24"/>
      <c r="H49" s="25"/>
      <c r="I49" s="25"/>
      <c r="J49" s="52"/>
      <c r="K49" s="46" t="str">
        <f t="shared" si="1"/>
        <v/>
      </c>
      <c r="L49" s="46"/>
    </row>
    <row r="50" spans="1:12" x14ac:dyDescent="0.2">
      <c r="A50" s="50"/>
      <c r="B50" s="50"/>
      <c r="C50" s="50"/>
      <c r="D50" s="50"/>
      <c r="E50" s="50"/>
      <c r="F50" s="50"/>
      <c r="G50" s="50"/>
      <c r="H50" s="51"/>
      <c r="I50" s="51"/>
      <c r="J50" s="53"/>
      <c r="K50" s="54" t="str">
        <f t="shared" si="1"/>
        <v/>
      </c>
      <c r="L50" s="54"/>
    </row>
    <row r="51" spans="1:12" x14ac:dyDescent="0.2">
      <c r="F51" s="26" t="s">
        <v>26</v>
      </c>
      <c r="G51" s="26"/>
      <c r="H51" s="26"/>
      <c r="I51" s="26"/>
      <c r="J51" s="49">
        <f>J53/1.24</f>
        <v>0</v>
      </c>
      <c r="K51" s="49"/>
      <c r="L51" s="49"/>
    </row>
    <row r="52" spans="1:12" x14ac:dyDescent="0.2">
      <c r="F52" s="26" t="s">
        <v>25</v>
      </c>
      <c r="G52" s="26"/>
      <c r="H52" s="26"/>
      <c r="I52" s="26"/>
      <c r="J52" s="28">
        <f>J53-J51</f>
        <v>0</v>
      </c>
      <c r="K52" s="28"/>
      <c r="L52" s="28"/>
    </row>
    <row r="53" spans="1:12" x14ac:dyDescent="0.2">
      <c r="F53" s="26" t="s">
        <v>5</v>
      </c>
      <c r="G53" s="26"/>
      <c r="H53" s="26"/>
      <c r="I53" s="26"/>
      <c r="J53" s="28">
        <f>SUM(K12:L27,K29:L50)</f>
        <v>0</v>
      </c>
      <c r="K53" s="28"/>
      <c r="L53" s="28"/>
    </row>
    <row r="54" spans="1:12" x14ac:dyDescent="0.2">
      <c r="A54" s="13" t="s">
        <v>6</v>
      </c>
      <c r="L54" s="1"/>
    </row>
    <row r="55" spans="1:12" x14ac:dyDescent="0.2">
      <c r="A55" s="12"/>
      <c r="B55" s="2"/>
      <c r="C55" s="2"/>
      <c r="D55" s="2"/>
      <c r="E55" s="2"/>
      <c r="F55" s="2"/>
      <c r="G55" s="2"/>
      <c r="H55" s="2"/>
      <c r="I55" s="27"/>
      <c r="J55" s="27"/>
      <c r="K55" s="27"/>
      <c r="L55" s="27"/>
    </row>
    <row r="56" spans="1:12" x14ac:dyDescent="0.2">
      <c r="A56" s="3" t="s">
        <v>7</v>
      </c>
      <c r="B56" s="4"/>
      <c r="C56" s="4"/>
      <c r="D56" s="4" t="s">
        <v>11</v>
      </c>
      <c r="E56" s="4"/>
      <c r="F56" s="4"/>
      <c r="G56" s="4" t="s">
        <v>13</v>
      </c>
      <c r="H56" s="4"/>
      <c r="I56" s="4"/>
      <c r="J56" s="4"/>
      <c r="L56" s="15" t="s">
        <v>14</v>
      </c>
    </row>
    <row r="57" spans="1:12" x14ac:dyDescent="0.2">
      <c r="A57" s="4" t="s">
        <v>8</v>
      </c>
      <c r="B57" s="4"/>
      <c r="C57" s="4"/>
      <c r="D57" s="4" t="s">
        <v>16</v>
      </c>
      <c r="E57" s="14"/>
      <c r="F57" s="4"/>
      <c r="G57" s="4" t="s">
        <v>17</v>
      </c>
      <c r="H57" s="4"/>
      <c r="I57" s="4"/>
      <c r="J57" s="4"/>
      <c r="L57" s="16" t="s">
        <v>15</v>
      </c>
    </row>
    <row r="58" spans="1:12" x14ac:dyDescent="0.2">
      <c r="A58" s="4" t="s">
        <v>9</v>
      </c>
      <c r="B58" s="4"/>
      <c r="C58" s="4"/>
      <c r="E58" s="4"/>
      <c r="F58" s="4"/>
      <c r="G58" s="4" t="s">
        <v>18</v>
      </c>
      <c r="H58" s="4"/>
      <c r="I58" s="4"/>
      <c r="J58" s="4"/>
      <c r="L58" s="5"/>
    </row>
    <row r="59" spans="1:12" x14ac:dyDescent="0.2">
      <c r="A59" s="4" t="s">
        <v>10</v>
      </c>
      <c r="B59" s="4"/>
      <c r="C59" s="4"/>
      <c r="D59" s="4"/>
      <c r="E59" s="4"/>
      <c r="F59" s="4"/>
      <c r="G59" s="4" t="s">
        <v>12</v>
      </c>
      <c r="H59" s="4"/>
      <c r="I59" s="4"/>
      <c r="J59" s="4"/>
      <c r="K59" s="4"/>
      <c r="L59" s="6"/>
    </row>
  </sheetData>
  <sheetProtection algorithmName="SHA-512" hashValue="YTbmX9XtKAgIlUidMSozL2wOms2h/ClYxju8P+WMOgcsQrPMw9nalWeyY0aUn82gkbnvQ6tXG1AElzyQiN3ZVQ==" saltValue="Rfqf+gqG3VcgbG0PXyq1kQ==" spinCount="100000" sheet="1" objects="1" scenarios="1" formatCells="0" formatColumns="0" formatRows="0" insertHyperlinks="0" deleteRows="0" selectLockedCells="1" sort="0"/>
  <mergeCells count="147">
    <mergeCell ref="H14:I14"/>
    <mergeCell ref="K14:L14"/>
    <mergeCell ref="H20:I20"/>
    <mergeCell ref="K20:L20"/>
    <mergeCell ref="K19:L19"/>
    <mergeCell ref="H15:I15"/>
    <mergeCell ref="K15:L15"/>
    <mergeCell ref="H17:I17"/>
    <mergeCell ref="K17:L17"/>
    <mergeCell ref="H16:I16"/>
    <mergeCell ref="K16:L16"/>
    <mergeCell ref="H18:I18"/>
    <mergeCell ref="K18:L18"/>
    <mergeCell ref="B11:D11"/>
    <mergeCell ref="H11:I11"/>
    <mergeCell ref="K11:L11"/>
    <mergeCell ref="H12:I12"/>
    <mergeCell ref="K12:L12"/>
    <mergeCell ref="A12:G12"/>
    <mergeCell ref="H44:I44"/>
    <mergeCell ref="K44:L44"/>
    <mergeCell ref="H45:I45"/>
    <mergeCell ref="K45:L45"/>
    <mergeCell ref="H25:I25"/>
    <mergeCell ref="K25:L25"/>
    <mergeCell ref="H26:I26"/>
    <mergeCell ref="K26:L26"/>
    <mergeCell ref="H24:I24"/>
    <mergeCell ref="K24:L24"/>
    <mergeCell ref="B28:D28"/>
    <mergeCell ref="H28:I28"/>
    <mergeCell ref="K28:L28"/>
    <mergeCell ref="H29:I29"/>
    <mergeCell ref="K29:L29"/>
    <mergeCell ref="H13:I13"/>
    <mergeCell ref="K13:L13"/>
    <mergeCell ref="H19:I19"/>
    <mergeCell ref="H21:I21"/>
    <mergeCell ref="K21:L21"/>
    <mergeCell ref="H23:I23"/>
    <mergeCell ref="K23:L23"/>
    <mergeCell ref="A1:D1"/>
    <mergeCell ref="E1:H1"/>
    <mergeCell ref="I1:L1"/>
    <mergeCell ref="A2:D2"/>
    <mergeCell ref="E2:H2"/>
    <mergeCell ref="I2:J2"/>
    <mergeCell ref="K2:L2"/>
    <mergeCell ref="A6:D6"/>
    <mergeCell ref="A7:D7"/>
    <mergeCell ref="A8:D8"/>
    <mergeCell ref="E8:H8"/>
    <mergeCell ref="J8:L8"/>
    <mergeCell ref="A9:D9"/>
    <mergeCell ref="E9:H9"/>
    <mergeCell ref="J9:L9"/>
    <mergeCell ref="A3:D3"/>
    <mergeCell ref="E3:H3"/>
    <mergeCell ref="I3:J3"/>
    <mergeCell ref="K3:L3"/>
    <mergeCell ref="A4:D4"/>
    <mergeCell ref="H34:I34"/>
    <mergeCell ref="K34:L34"/>
    <mergeCell ref="H27:I27"/>
    <mergeCell ref="K27:L27"/>
    <mergeCell ref="H32:I32"/>
    <mergeCell ref="K32:L32"/>
    <mergeCell ref="H33:I33"/>
    <mergeCell ref="K33:L33"/>
    <mergeCell ref="H30:I30"/>
    <mergeCell ref="K30:L30"/>
    <mergeCell ref="H37:I37"/>
    <mergeCell ref="K37:L37"/>
    <mergeCell ref="A37:G37"/>
    <mergeCell ref="A38:G38"/>
    <mergeCell ref="A39:G39"/>
    <mergeCell ref="H35:I35"/>
    <mergeCell ref="K35:L35"/>
    <mergeCell ref="H36:I36"/>
    <mergeCell ref="K36:L36"/>
    <mergeCell ref="H48:I48"/>
    <mergeCell ref="K48:L48"/>
    <mergeCell ref="H42:I42"/>
    <mergeCell ref="K42:L42"/>
    <mergeCell ref="H43:I43"/>
    <mergeCell ref="H38:I38"/>
    <mergeCell ref="K38:L38"/>
    <mergeCell ref="H39:I39"/>
    <mergeCell ref="K39:L39"/>
    <mergeCell ref="H46:I46"/>
    <mergeCell ref="I55:L55"/>
    <mergeCell ref="J51:L51"/>
    <mergeCell ref="J52:L52"/>
    <mergeCell ref="J53:L53"/>
    <mergeCell ref="H22:I22"/>
    <mergeCell ref="K22:L22"/>
    <mergeCell ref="K43:L43"/>
    <mergeCell ref="A22:G22"/>
    <mergeCell ref="A23:G23"/>
    <mergeCell ref="A24:G24"/>
    <mergeCell ref="A25:G25"/>
    <mergeCell ref="A26:G26"/>
    <mergeCell ref="A27:G27"/>
    <mergeCell ref="A29:G29"/>
    <mergeCell ref="A30:G30"/>
    <mergeCell ref="A31:G31"/>
    <mergeCell ref="A32:G32"/>
    <mergeCell ref="A33:G33"/>
    <mergeCell ref="A34:G34"/>
    <mergeCell ref="A35:G35"/>
    <mergeCell ref="A36:G36"/>
    <mergeCell ref="H49:I49"/>
    <mergeCell ref="K49:L49"/>
    <mergeCell ref="H50:I50"/>
    <mergeCell ref="A13:G13"/>
    <mergeCell ref="A14:G14"/>
    <mergeCell ref="A15:G15"/>
    <mergeCell ref="A16:G16"/>
    <mergeCell ref="A17:G17"/>
    <mergeCell ref="A18:G18"/>
    <mergeCell ref="A19:G19"/>
    <mergeCell ref="A20:G20"/>
    <mergeCell ref="A21:G21"/>
    <mergeCell ref="A49:G49"/>
    <mergeCell ref="A50:G50"/>
    <mergeCell ref="H31:I31"/>
    <mergeCell ref="K31:L31"/>
    <mergeCell ref="F51:I51"/>
    <mergeCell ref="F53:I53"/>
    <mergeCell ref="F52:I52"/>
    <mergeCell ref="A40:G40"/>
    <mergeCell ref="A41:G41"/>
    <mergeCell ref="A42:G42"/>
    <mergeCell ref="A43:G43"/>
    <mergeCell ref="A44:G44"/>
    <mergeCell ref="A45:G45"/>
    <mergeCell ref="A46:G46"/>
    <mergeCell ref="A47:G47"/>
    <mergeCell ref="A48:G48"/>
    <mergeCell ref="K50:L50"/>
    <mergeCell ref="H40:I40"/>
    <mergeCell ref="K40:L40"/>
    <mergeCell ref="H41:I41"/>
    <mergeCell ref="K41:L41"/>
    <mergeCell ref="K46:L46"/>
    <mergeCell ref="H47:I47"/>
    <mergeCell ref="K47:L47"/>
  </mergeCells>
  <hyperlinks>
    <hyperlink ref="L56" r:id="rId1" display="info@finnelit.com"/>
    <hyperlink ref="L57" r:id="rId2" display="www.finnelit.com"/>
  </hyperlinks>
  <pageMargins left="0.59055118110236227" right="0.35433070866141736" top="0.27559055118110237" bottom="0.27559055118110237" header="0.51181102362204722" footer="0.51181102362204722"/>
  <pageSetup paperSize="9" orientation="portrait" useFirstPageNumber="1" verticalDpi="300" r:id="rId3"/>
  <headerFooter alignWithMargins="0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korjaamo</dc:creator>
  <cp:lastModifiedBy>korjaamo</cp:lastModifiedBy>
  <cp:lastPrinted>2016-09-15T14:59:05Z</cp:lastPrinted>
  <dcterms:created xsi:type="dcterms:W3CDTF">2013-01-08T12:39:38Z</dcterms:created>
  <dcterms:modified xsi:type="dcterms:W3CDTF">2016-09-15T15:31:35Z</dcterms:modified>
</cp:coreProperties>
</file>